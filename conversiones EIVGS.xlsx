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rujillo\PycharmProjects\check_eivg\"/>
    </mc:Choice>
  </mc:AlternateContent>
  <xr:revisionPtr revIDLastSave="0" documentId="13_ncr:1_{3E72676C-1037-439F-A060-0DA1EFD5C9A2}" xr6:coauthVersionLast="47" xr6:coauthVersionMax="47" xr10:uidLastSave="{00000000-0000-0000-0000-000000000000}"/>
  <bookViews>
    <workbookView xWindow="28680" yWindow="-120" windowWidth="29040" windowHeight="15840" xr2:uid="{0BA78743-DDA5-4C73-A646-7DC60E440C7F}"/>
  </bookViews>
  <sheets>
    <sheet name="lista_eivgs" sheetId="2" r:id="rId1"/>
    <sheet name="Hoja1" sheetId="3" r:id="rId2"/>
  </sheets>
  <definedNames>
    <definedName name="DatosExternos_1" localSheetId="0" hidden="1">lista_eivgs!$A$1:$H$24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5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C0D3FD-4A75-4213-BE6C-B2A27F36ED30}" keepAlive="1" name="Consulta - lista_eivgs" description="Conexión a la consulta 'lista_eivgs' en el libro." type="5" refreshedVersion="8" background="1" saveData="1">
    <dbPr connection="Provider=Microsoft.Mashup.OleDb.1;Data Source=$Workbook$;Location=lista_eivgs;Extended Properties=&quot;&quot;" command="SELECT * FROM [lista_eivgs]"/>
  </connection>
</connections>
</file>

<file path=xl/sharedStrings.xml><?xml version="1.0" encoding="utf-8"?>
<sst xmlns="http://schemas.openxmlformats.org/spreadsheetml/2006/main" count="192" uniqueCount="120">
  <si>
    <t>ruc</t>
  </si>
  <si>
    <t>fecha_carpeta</t>
  </si>
  <si>
    <t>fiscalia</t>
  </si>
  <si>
    <t>convertida</t>
  </si>
  <si>
    <t>estado_causa</t>
  </si>
  <si>
    <t>cod_fiscalia</t>
  </si>
  <si>
    <t>Comando PHP</t>
  </si>
  <si>
    <t>Comando PHP 2</t>
  </si>
  <si>
    <t>VIGENTE</t>
  </si>
  <si>
    <t>False</t>
  </si>
  <si>
    <t>PUERTO MONTT</t>
  </si>
  <si>
    <t>1001</t>
  </si>
  <si>
    <t>OSORNO</t>
  </si>
  <si>
    <t>1002</t>
  </si>
  <si>
    <t>ANCUD</t>
  </si>
  <si>
    <t>1007</t>
  </si>
  <si>
    <t>CASTRO</t>
  </si>
  <si>
    <t>1005</t>
  </si>
  <si>
    <t>CALBUCO</t>
  </si>
  <si>
    <t>1010</t>
  </si>
  <si>
    <t>RIO NEGRO</t>
  </si>
  <si>
    <t>1017</t>
  </si>
  <si>
    <t>2500669571-2</t>
  </si>
  <si>
    <t>2025-06-27 14:06:46.810334</t>
  </si>
  <si>
    <t xml:space="preserve">php /var/www/html/eiv/index.php HabilitaEIVLNX HabilitaRuc eiv-x Minpub.24 2500669571-2 1007 </t>
  </si>
  <si>
    <t xml:space="preserve">php /var/www/html/habilitaEIV/index.php HabilitaEIVLNX HabilitaRuc eiv-x Minpub.24 2500669571-2 1007 </t>
  </si>
  <si>
    <t>2401193831-7</t>
  </si>
  <si>
    <t>2025-06-26 13:18:51.374584</t>
  </si>
  <si>
    <t xml:space="preserve">php /var/www/html/eiv/index.php HabilitaEIVLNX HabilitaRuc eiv-x Minpub.24 2401193831-7 1005 </t>
  </si>
  <si>
    <t xml:space="preserve">php /var/www/html/habilitaEIV/index.php HabilitaEIVLNX HabilitaRuc eiv-x Minpub.24 2401193831-7 1005 </t>
  </si>
  <si>
    <t>2500661218-3</t>
  </si>
  <si>
    <t>2025-06-25 21:44:37.674326</t>
  </si>
  <si>
    <t>QUINCHAO</t>
  </si>
  <si>
    <t>1011</t>
  </si>
  <si>
    <t xml:space="preserve">php /var/www/html/eiv/index.php HabilitaEIVLNX HabilitaRuc eiv-x Minpub.24 2500661218-3 1011 </t>
  </si>
  <si>
    <t xml:space="preserve">php /var/www/html/habilitaEIV/index.php HabilitaEIVLNX HabilitaRuc eiv-x Minpub.24 2500661218-3 1011 </t>
  </si>
  <si>
    <t>2500753911-0</t>
  </si>
  <si>
    <t>2025-06-25 21:31:19.494343</t>
  </si>
  <si>
    <t xml:space="preserve">php /var/www/html/eiv/index.php HabilitaEIVLNX HabilitaRuc eiv-x Minpub.24 2500753911-0 1011 </t>
  </si>
  <si>
    <t xml:space="preserve">php /var/www/html/habilitaEIV/index.php HabilitaEIVLNX HabilitaRuc eiv-x Minpub.24 2500753911-0 1011 </t>
  </si>
  <si>
    <t>2500654594-K</t>
  </si>
  <si>
    <t>2025-06-23 21:44:31.498000</t>
  </si>
  <si>
    <t xml:space="preserve">php /var/www/html/eiv/index.php HabilitaEIVLNX HabilitaRuc eiv-x Minpub.24 2500654594-K 1001 </t>
  </si>
  <si>
    <t xml:space="preserve">php /var/www/html/habilitaEIV/index.php HabilitaEIVLNX HabilitaRuc eiv-x Minpub.24 2500654594-K 1001 </t>
  </si>
  <si>
    <t>2500727252-1</t>
  </si>
  <si>
    <t>2025-06-23 21:40:19.426729</t>
  </si>
  <si>
    <t xml:space="preserve">php /var/www/html/eiv/index.php HabilitaEIVLNX HabilitaRuc eiv-x Minpub.24 2500727252-1 1001 </t>
  </si>
  <si>
    <t xml:space="preserve">php /var/www/html/habilitaEIV/index.php HabilitaEIVLNX HabilitaRuc eiv-x Minpub.24 2500727252-1 1001 </t>
  </si>
  <si>
    <t>2500750570-4</t>
  </si>
  <si>
    <t>2025-06-23 21:26:30.884179</t>
  </si>
  <si>
    <t xml:space="preserve">php /var/www/html/eiv/index.php HabilitaEIVLNX HabilitaRuc eiv-x Minpub.24 2500750570-4 1001 </t>
  </si>
  <si>
    <t xml:space="preserve">php /var/www/html/habilitaEIV/index.php HabilitaEIVLNX HabilitaRuc eiv-x Minpub.24 2500750570-4 1001 </t>
  </si>
  <si>
    <t>2500675002-0</t>
  </si>
  <si>
    <t>2025-06-23 16:10:39.657405</t>
  </si>
  <si>
    <t xml:space="preserve">php /var/www/html/eiv/index.php HabilitaEIVLNX HabilitaRuc eiv-x Minpub.24 2500675002-0 1002 </t>
  </si>
  <si>
    <t xml:space="preserve">php /var/www/html/habilitaEIV/index.php HabilitaEIVLNX HabilitaRuc eiv-x Minpub.24 2500675002-0 1002 </t>
  </si>
  <si>
    <t>2500742525-5</t>
  </si>
  <si>
    <t>2025-06-23 16:08:59.168471</t>
  </si>
  <si>
    <t xml:space="preserve">php /var/www/html/eiv/index.php HabilitaEIVLNX HabilitaRuc eiv-x Minpub.24 2500742525-5 1002 </t>
  </si>
  <si>
    <t xml:space="preserve">php /var/www/html/habilitaEIV/index.php HabilitaEIVLNX HabilitaRuc eiv-x Minpub.24 2500742525-5 1002 </t>
  </si>
  <si>
    <t>MAULLÍN</t>
  </si>
  <si>
    <t>1016</t>
  </si>
  <si>
    <t>QUELLÓN</t>
  </si>
  <si>
    <t>1014</t>
  </si>
  <si>
    <t>2500517579-0</t>
  </si>
  <si>
    <t>2025-05-20 16:29:29.897958</t>
  </si>
  <si>
    <t xml:space="preserve">php /var/www/html/eiv/index.php HabilitaEIVLNX HabilitaRuc eiv-x Minpub.24 2500517579-0 1010 </t>
  </si>
  <si>
    <t xml:space="preserve">php /var/www/html/habilitaEIV/index.php HabilitaEIVLNX HabilitaRuc eiv-x Minpub.24 2500517579-0 1010 </t>
  </si>
  <si>
    <t>2500380883-4</t>
  </si>
  <si>
    <t>2025-05-15 20:28:44.863301</t>
  </si>
  <si>
    <t xml:space="preserve">php /var/www/html/eiv/index.php HabilitaEIVLNX HabilitaRuc eiv-x Minpub.24 2500380883-4 1002 </t>
  </si>
  <si>
    <t xml:space="preserve">php /var/www/html/habilitaEIV/index.php HabilitaEIVLNX HabilitaRuc eiv-x Minpub.24 2500380883-4 1002 </t>
  </si>
  <si>
    <t>2401086069-1</t>
  </si>
  <si>
    <t>2025-03-11 11:13:41.051683</t>
  </si>
  <si>
    <t xml:space="preserve">php /var/www/html/eiv/index.php HabilitaEIVLNX HabilitaRuc eiv-x Minpub.24 2401086069-1 1016 </t>
  </si>
  <si>
    <t xml:space="preserve">php /var/www/html/habilitaEIV/index.php HabilitaEIVLNX HabilitaRuc eiv-x Minpub.24 2401086069-1 1016 </t>
  </si>
  <si>
    <t>2401296797-3</t>
  </si>
  <si>
    <t>2024-12-11 20:45:15.413046</t>
  </si>
  <si>
    <t xml:space="preserve">php /var/www/html/eiv/index.php HabilitaEIVLNX HabilitaRuc eiv-x Minpub.24 2401296797-3 1014 </t>
  </si>
  <si>
    <t xml:space="preserve">php /var/www/html/habilitaEIV/index.php HabilitaEIVLNX HabilitaRuc eiv-x Minpub.24 2401296797-3 1014 </t>
  </si>
  <si>
    <t>2401438314-6</t>
  </si>
  <si>
    <t>2024-11-25 20:00:51.886744</t>
  </si>
  <si>
    <t xml:space="preserve">php /var/www/html/eiv/index.php HabilitaEIVLNX HabilitaRuc eiv-x Minpub.24 2401438314-6 1001 </t>
  </si>
  <si>
    <t xml:space="preserve">php /var/www/html/habilitaEIV/index.php HabilitaEIVLNX HabilitaRuc eiv-x Minpub.24 2401438314-6 1001 </t>
  </si>
  <si>
    <t>2400879910-1</t>
  </si>
  <si>
    <t>2024-09-30 18:49:58.736610</t>
  </si>
  <si>
    <t xml:space="preserve">php /var/www/html/eiv/index.php HabilitaEIVLNX HabilitaRuc eiv-x Minpub.24 2400879910-1 1017 </t>
  </si>
  <si>
    <t xml:space="preserve">php /var/www/html/habilitaEIV/index.php HabilitaEIVLNX HabilitaRuc eiv-x Minpub.24 2400879910-1 1017 </t>
  </si>
  <si>
    <t>2400318929-1</t>
  </si>
  <si>
    <t>2024-08-09 12:19:40.904720</t>
  </si>
  <si>
    <t xml:space="preserve">php /var/www/html/eiv/index.php HabilitaEIVLNX HabilitaRuc eiv-x Minpub.24 2400318929-1 1002 </t>
  </si>
  <si>
    <t xml:space="preserve">php /var/www/html/habilitaEIV/index.php HabilitaEIVLNX HabilitaRuc eiv-x Minpub.24 2400318929-1 1002 </t>
  </si>
  <si>
    <t>2400613251-7</t>
  </si>
  <si>
    <t>2024-06-12 21:57:13.299367</t>
  </si>
  <si>
    <t xml:space="preserve">php /var/www/html/eiv/index.php HabilitaEIVLNX HabilitaRuc eiv-x Minpub.24 2400613251-7 1002 </t>
  </si>
  <si>
    <t xml:space="preserve">php /var/www/html/habilitaEIV/index.php HabilitaEIVLNX HabilitaRuc eiv-x Minpub.24 2400613251-7 1002 </t>
  </si>
  <si>
    <t>2400374512-7</t>
  </si>
  <si>
    <t>2024-05-31 19:03:58.268145</t>
  </si>
  <si>
    <t xml:space="preserve">php /var/www/html/eiv/index.php HabilitaEIVLNX HabilitaRuc eiv-x Minpub.24 2400374512-7 1002 </t>
  </si>
  <si>
    <t xml:space="preserve">php /var/www/html/habilitaEIV/index.php HabilitaEIVLNX HabilitaRuc eiv-x Minpub.24 2400374512-7 1002 </t>
  </si>
  <si>
    <t>2400201224-K</t>
  </si>
  <si>
    <t>2024-03-05 20:23:45.180517</t>
  </si>
  <si>
    <t xml:space="preserve">php /var/www/html/eiv/index.php HabilitaEIVLNX HabilitaRuc eiv-x Minpub.24 2400201224-K 1001 </t>
  </si>
  <si>
    <t xml:space="preserve">php /var/www/html/habilitaEIV/index.php HabilitaEIVLNX HabilitaRuc eiv-x Minpub.24 2400201224-K 1001 </t>
  </si>
  <si>
    <t>2300359880-2</t>
  </si>
  <si>
    <t>2023-07-07 13:45:46.713312</t>
  </si>
  <si>
    <t xml:space="preserve">php /var/www/html/eiv/index.php HabilitaEIVLNX HabilitaRuc eiv-x Minpub.24 2300359880-2 1001 </t>
  </si>
  <si>
    <t xml:space="preserve">php /var/www/html/habilitaEIV/index.php HabilitaEIVLNX HabilitaRuc eiv-x Minpub.24 2300359880-2 1001 </t>
  </si>
  <si>
    <t>2300032647-K</t>
  </si>
  <si>
    <t>2023-04-25 17:07:17.859035</t>
  </si>
  <si>
    <t xml:space="preserve">php /var/www/html/eiv/index.php HabilitaEIVLNX HabilitaRuc eiv-x Minpub.24 2300032647-K 1007 </t>
  </si>
  <si>
    <t xml:space="preserve">php /var/www/html/habilitaEIV/index.php HabilitaEIVLNX HabilitaRuc eiv-x Minpub.24 2300032647-K 1007 </t>
  </si>
  <si>
    <t>2201112322-1</t>
  </si>
  <si>
    <t>2023-02-14 14:30:00.717818</t>
  </si>
  <si>
    <t xml:space="preserve">php /var/www/html/eiv/index.php HabilitaEIVLNX HabilitaRuc eiv-x Minpub.24 2201112322-1 1001 </t>
  </si>
  <si>
    <t xml:space="preserve">php /var/www/html/habilitaEIV/index.php HabilitaEIVLNX HabilitaRuc eiv-x Minpub.24 2201112322-1 1001 </t>
  </si>
  <si>
    <t>2500664106-K</t>
  </si>
  <si>
    <t>2025-06-24 11:10:44.284126</t>
  </si>
  <si>
    <t xml:space="preserve">php /var/www/html/eiv/index.php HabilitaEIVLNX HabilitaRuc eiv-x Minpub.24 2500664106-K 1002 </t>
  </si>
  <si>
    <t xml:space="preserve">php /var/www/html/habilitaEIV/index.php HabilitaEIVLNX HabilitaRuc eiv-x Minpub.24 2500664106-K 1002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</si>
</sst>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12E987A-5432-440D-9F62-6959E7845336}" autoFormatId="16" applyNumberFormats="0" applyBorderFormats="0" applyFontFormats="0" applyPatternFormats="0" applyAlignmentFormats="0" applyWidthHeightFormats="0">
  <queryTableRefresh nextId="23">
    <queryTableFields count="8">
      <queryTableField id="3" name="ruc" tableColumnId="3"/>
      <queryTableField id="13" name="fecha_carpeta" tableColumnId="13"/>
      <queryTableField id="15" name="fiscalia" tableColumnId="15"/>
      <queryTableField id="18" name="estado_causa" tableColumnId="18"/>
      <queryTableField id="17" name="convertida" tableColumnId="17"/>
      <queryTableField id="19" name="cod_fiscalia" tableColumnId="19"/>
      <queryTableField id="21" name="Comando PHP" tableColumnId="20"/>
      <queryTableField id="22" name="Comando PHP 2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F9E5A8-4DEA-4F13-8A3E-6DB49F6BCB4C}" name="lista_eivgs" displayName="lista_eivgs" ref="A1:H24" tableType="queryTable" totalsRowShown="0">
  <autoFilter ref="A1:H24" xr:uid="{4EF9E5A8-4DEA-4F13-8A3E-6DB49F6BCB4C}"/>
  <tableColumns count="8">
    <tableColumn id="3" xr3:uid="{561ECFAE-E989-447A-851E-B8512EB0779F}" uniqueName="3" name="ruc" queryTableFieldId="3"/>
    <tableColumn id="13" xr3:uid="{BE59B89B-2CE0-4CE0-AA98-FE71C71F0A5F}" uniqueName="13" name="fecha_carpeta" queryTableFieldId="13"/>
    <tableColumn id="15" xr3:uid="{B23287DC-2FC8-4734-B102-5B6A08FA08E5}" uniqueName="15" name="fiscalia" queryTableFieldId="15"/>
    <tableColumn id="18" xr3:uid="{40D308D3-B12F-4A14-AD62-B58333F7E417}" uniqueName="18" name="estado_causa" queryTableFieldId="18"/>
    <tableColumn id="17" xr3:uid="{C0EAD63A-7605-4FE5-BA5B-FC96E7B01CF1}" uniqueName="17" name="convertida" queryTableFieldId="17"/>
    <tableColumn id="19" xr3:uid="{E95B56C8-4589-4233-A058-E3891BB1FF10}" uniqueName="19" name="cod_fiscalia" queryTableFieldId="19"/>
    <tableColumn id="20" xr3:uid="{B47ACB61-7439-410E-AE53-0C610C691B79}" uniqueName="20" name="Comando PHP" queryTableFieldId="21"/>
    <tableColumn id="1" xr3:uid="{FF2B915F-197D-471C-9D0E-91D4637ADB21}" uniqueName="1" name="Comando PHP 2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CFE0C-1B6C-4058-9F8A-1D3E87E72742}">
  <dimension ref="A1:H24"/>
  <sheetViews>
    <sheetView tabSelected="1" workbookViewId="0">
      <selection activeCell="H2" sqref="H2:H24"/>
    </sheetView>
  </sheetViews>
  <sheetFormatPr baseColWidth="10" defaultRowHeight="15" x14ac:dyDescent="0.25"/>
  <cols>
    <col min="1" max="1" width="12.85546875" bestFit="1" customWidth="1"/>
    <col min="2" max="2" width="24.85546875" bestFit="1" customWidth="1"/>
    <col min="3" max="3" width="15" bestFit="1" customWidth="1"/>
    <col min="4" max="4" width="15.140625" bestFit="1" customWidth="1"/>
    <col min="5" max="5" width="12.7109375" bestFit="1" customWidth="1"/>
    <col min="6" max="6" width="13.5703125" bestFit="1" customWidth="1"/>
    <col min="7" max="8" width="81.140625" bestFit="1" customWidth="1"/>
    <col min="9" max="9" width="15.140625" bestFit="1" customWidth="1"/>
    <col min="10" max="10" width="12.7109375" bestFit="1" customWidth="1"/>
    <col min="11" max="11" width="13.5703125" bestFit="1" customWidth="1"/>
    <col min="12" max="12" width="90" bestFit="1" customWidth="1"/>
    <col min="13" max="13" width="17" bestFit="1" customWidth="1"/>
    <col min="14" max="14" width="26.5703125" bestFit="1" customWidth="1"/>
    <col min="15" max="15" width="19.28515625" bestFit="1" customWidth="1"/>
    <col min="16" max="16" width="18.7109375" bestFit="1" customWidth="1"/>
    <col min="17" max="17" width="15.7109375" bestFit="1" customWidth="1"/>
    <col min="18" max="18" width="18.140625" bestFit="1" customWidth="1"/>
    <col min="19" max="19" width="32.5703125" bestFit="1" customWidth="1"/>
    <col min="20" max="20" width="13.28515625" bestFit="1" customWidth="1"/>
    <col min="21" max="21" width="12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</row>
    <row r="2" spans="1:8" x14ac:dyDescent="0.25">
      <c r="A2" t="s">
        <v>22</v>
      </c>
      <c r="B2" t="s">
        <v>23</v>
      </c>
      <c r="C2" t="s">
        <v>14</v>
      </c>
      <c r="D2" t="s">
        <v>8</v>
      </c>
      <c r="E2" t="s">
        <v>9</v>
      </c>
      <c r="F2" t="s">
        <v>15</v>
      </c>
      <c r="G2" t="s">
        <v>24</v>
      </c>
      <c r="H2" t="s">
        <v>25</v>
      </c>
    </row>
    <row r="3" spans="1:8" x14ac:dyDescent="0.25">
      <c r="A3" t="s">
        <v>26</v>
      </c>
      <c r="B3" t="s">
        <v>27</v>
      </c>
      <c r="C3" t="s">
        <v>16</v>
      </c>
      <c r="D3" t="s">
        <v>8</v>
      </c>
      <c r="E3" t="s">
        <v>9</v>
      </c>
      <c r="F3" t="s">
        <v>17</v>
      </c>
      <c r="G3" t="s">
        <v>28</v>
      </c>
      <c r="H3" t="s">
        <v>29</v>
      </c>
    </row>
    <row r="4" spans="1:8" x14ac:dyDescent="0.25">
      <c r="A4" t="s">
        <v>30</v>
      </c>
      <c r="B4" t="s">
        <v>31</v>
      </c>
      <c r="C4" t="s">
        <v>32</v>
      </c>
      <c r="D4" t="s">
        <v>8</v>
      </c>
      <c r="E4" t="s">
        <v>9</v>
      </c>
      <c r="F4" t="s">
        <v>33</v>
      </c>
      <c r="G4" t="s">
        <v>34</v>
      </c>
      <c r="H4" t="s">
        <v>35</v>
      </c>
    </row>
    <row r="5" spans="1:8" x14ac:dyDescent="0.25">
      <c r="A5" t="s">
        <v>36</v>
      </c>
      <c r="B5" t="s">
        <v>37</v>
      </c>
      <c r="C5" t="s">
        <v>32</v>
      </c>
      <c r="D5" t="s">
        <v>8</v>
      </c>
      <c r="E5" t="s">
        <v>9</v>
      </c>
      <c r="F5" t="s">
        <v>33</v>
      </c>
      <c r="G5" t="s">
        <v>38</v>
      </c>
      <c r="H5" t="s">
        <v>39</v>
      </c>
    </row>
    <row r="6" spans="1:8" x14ac:dyDescent="0.25">
      <c r="A6" t="s">
        <v>116</v>
      </c>
      <c r="B6" t="s">
        <v>117</v>
      </c>
      <c r="C6" t="s">
        <v>12</v>
      </c>
      <c r="D6" t="s">
        <v>8</v>
      </c>
      <c r="E6" t="s">
        <v>9</v>
      </c>
      <c r="F6" t="s">
        <v>13</v>
      </c>
      <c r="G6" t="s">
        <v>118</v>
      </c>
      <c r="H6" t="s">
        <v>119</v>
      </c>
    </row>
    <row r="7" spans="1:8" x14ac:dyDescent="0.25">
      <c r="A7" t="s">
        <v>40</v>
      </c>
      <c r="B7" t="s">
        <v>41</v>
      </c>
      <c r="C7" t="s">
        <v>10</v>
      </c>
      <c r="D7" t="s">
        <v>8</v>
      </c>
      <c r="E7" t="s">
        <v>9</v>
      </c>
      <c r="F7" t="s">
        <v>11</v>
      </c>
      <c r="G7" t="s">
        <v>42</v>
      </c>
      <c r="H7" t="s">
        <v>43</v>
      </c>
    </row>
    <row r="8" spans="1:8" x14ac:dyDescent="0.25">
      <c r="A8" t="s">
        <v>44</v>
      </c>
      <c r="B8" t="s">
        <v>45</v>
      </c>
      <c r="C8" t="s">
        <v>10</v>
      </c>
      <c r="D8" t="s">
        <v>8</v>
      </c>
      <c r="E8" t="s">
        <v>9</v>
      </c>
      <c r="F8" t="s">
        <v>11</v>
      </c>
      <c r="G8" t="s">
        <v>46</v>
      </c>
      <c r="H8" t="s">
        <v>47</v>
      </c>
    </row>
    <row r="9" spans="1:8" x14ac:dyDescent="0.25">
      <c r="A9" t="s">
        <v>48</v>
      </c>
      <c r="B9" t="s">
        <v>49</v>
      </c>
      <c r="C9" t="s">
        <v>10</v>
      </c>
      <c r="D9" t="s">
        <v>8</v>
      </c>
      <c r="E9" t="s">
        <v>9</v>
      </c>
      <c r="F9" t="s">
        <v>11</v>
      </c>
      <c r="G9" t="s">
        <v>50</v>
      </c>
      <c r="H9" t="s">
        <v>51</v>
      </c>
    </row>
    <row r="10" spans="1:8" x14ac:dyDescent="0.25">
      <c r="A10" t="s">
        <v>52</v>
      </c>
      <c r="B10" t="s">
        <v>53</v>
      </c>
      <c r="C10" t="s">
        <v>12</v>
      </c>
      <c r="D10" t="s">
        <v>8</v>
      </c>
      <c r="E10" t="s">
        <v>9</v>
      </c>
      <c r="F10" t="s">
        <v>13</v>
      </c>
      <c r="G10" t="s">
        <v>54</v>
      </c>
      <c r="H10" t="s">
        <v>55</v>
      </c>
    </row>
    <row r="11" spans="1:8" x14ac:dyDescent="0.25">
      <c r="A11" t="s">
        <v>56</v>
      </c>
      <c r="B11" t="s">
        <v>57</v>
      </c>
      <c r="C11" t="s">
        <v>12</v>
      </c>
      <c r="D11" t="s">
        <v>8</v>
      </c>
      <c r="E11" t="s">
        <v>9</v>
      </c>
      <c r="F11" t="s">
        <v>13</v>
      </c>
      <c r="G11" t="s">
        <v>58</v>
      </c>
      <c r="H11" t="s">
        <v>59</v>
      </c>
    </row>
    <row r="12" spans="1:8" x14ac:dyDescent="0.25">
      <c r="A12" t="s">
        <v>64</v>
      </c>
      <c r="B12" t="s">
        <v>65</v>
      </c>
      <c r="C12" t="s">
        <v>18</v>
      </c>
      <c r="D12" t="s">
        <v>8</v>
      </c>
      <c r="E12" t="s">
        <v>9</v>
      </c>
      <c r="F12" t="s">
        <v>19</v>
      </c>
      <c r="G12" t="s">
        <v>66</v>
      </c>
      <c r="H12" t="s">
        <v>67</v>
      </c>
    </row>
    <row r="13" spans="1:8" x14ac:dyDescent="0.25">
      <c r="A13" t="s">
        <v>68</v>
      </c>
      <c r="B13" t="s">
        <v>69</v>
      </c>
      <c r="C13" t="s">
        <v>12</v>
      </c>
      <c r="D13" t="s">
        <v>8</v>
      </c>
      <c r="E13" t="s">
        <v>9</v>
      </c>
      <c r="F13" t="s">
        <v>13</v>
      </c>
      <c r="G13" t="s">
        <v>70</v>
      </c>
      <c r="H13" t="s">
        <v>71</v>
      </c>
    </row>
    <row r="14" spans="1:8" x14ac:dyDescent="0.25">
      <c r="A14" t="s">
        <v>72</v>
      </c>
      <c r="B14" t="s">
        <v>73</v>
      </c>
      <c r="C14" t="s">
        <v>60</v>
      </c>
      <c r="D14" t="s">
        <v>8</v>
      </c>
      <c r="E14" t="s">
        <v>9</v>
      </c>
      <c r="F14" t="s">
        <v>61</v>
      </c>
      <c r="G14" t="s">
        <v>74</v>
      </c>
      <c r="H14" t="s">
        <v>75</v>
      </c>
    </row>
    <row r="15" spans="1:8" x14ac:dyDescent="0.25">
      <c r="A15" t="s">
        <v>76</v>
      </c>
      <c r="B15" t="s">
        <v>77</v>
      </c>
      <c r="C15" t="s">
        <v>62</v>
      </c>
      <c r="D15" t="s">
        <v>8</v>
      </c>
      <c r="E15" t="s">
        <v>9</v>
      </c>
      <c r="F15" t="s">
        <v>63</v>
      </c>
      <c r="G15" t="s">
        <v>78</v>
      </c>
      <c r="H15" t="s">
        <v>79</v>
      </c>
    </row>
    <row r="16" spans="1:8" x14ac:dyDescent="0.25">
      <c r="A16" t="s">
        <v>80</v>
      </c>
      <c r="B16" t="s">
        <v>81</v>
      </c>
      <c r="C16" t="s">
        <v>10</v>
      </c>
      <c r="D16" t="s">
        <v>8</v>
      </c>
      <c r="E16" t="s">
        <v>9</v>
      </c>
      <c r="F16" t="s">
        <v>11</v>
      </c>
      <c r="G16" t="s">
        <v>82</v>
      </c>
      <c r="H16" t="s">
        <v>83</v>
      </c>
    </row>
    <row r="17" spans="1:8" x14ac:dyDescent="0.25">
      <c r="A17" t="s">
        <v>84</v>
      </c>
      <c r="B17" t="s">
        <v>85</v>
      </c>
      <c r="C17" t="s">
        <v>20</v>
      </c>
      <c r="D17" t="s">
        <v>8</v>
      </c>
      <c r="E17" t="s">
        <v>9</v>
      </c>
      <c r="F17" t="s">
        <v>21</v>
      </c>
      <c r="G17" t="s">
        <v>86</v>
      </c>
      <c r="H17" t="s">
        <v>87</v>
      </c>
    </row>
    <row r="18" spans="1:8" x14ac:dyDescent="0.25">
      <c r="A18" t="s">
        <v>88</v>
      </c>
      <c r="B18" t="s">
        <v>89</v>
      </c>
      <c r="C18" t="s">
        <v>12</v>
      </c>
      <c r="D18" t="s">
        <v>8</v>
      </c>
      <c r="E18" t="s">
        <v>9</v>
      </c>
      <c r="F18" t="s">
        <v>13</v>
      </c>
      <c r="G18" t="s">
        <v>90</v>
      </c>
      <c r="H18" t="s">
        <v>91</v>
      </c>
    </row>
    <row r="19" spans="1:8" x14ac:dyDescent="0.25">
      <c r="A19" t="s">
        <v>92</v>
      </c>
      <c r="B19" t="s">
        <v>93</v>
      </c>
      <c r="C19" t="s">
        <v>12</v>
      </c>
      <c r="D19" t="s">
        <v>8</v>
      </c>
      <c r="E19" t="s">
        <v>9</v>
      </c>
      <c r="F19" t="s">
        <v>13</v>
      </c>
      <c r="G19" t="s">
        <v>94</v>
      </c>
      <c r="H19" t="s">
        <v>95</v>
      </c>
    </row>
    <row r="20" spans="1:8" x14ac:dyDescent="0.25">
      <c r="A20" t="s">
        <v>96</v>
      </c>
      <c r="B20" t="s">
        <v>97</v>
      </c>
      <c r="C20" t="s">
        <v>12</v>
      </c>
      <c r="D20" t="s">
        <v>8</v>
      </c>
      <c r="E20" t="s">
        <v>9</v>
      </c>
      <c r="F20" t="s">
        <v>13</v>
      </c>
      <c r="G20" t="s">
        <v>98</v>
      </c>
      <c r="H20" t="s">
        <v>99</v>
      </c>
    </row>
    <row r="21" spans="1:8" x14ac:dyDescent="0.25">
      <c r="A21" t="s">
        <v>100</v>
      </c>
      <c r="B21" t="s">
        <v>101</v>
      </c>
      <c r="C21" t="s">
        <v>10</v>
      </c>
      <c r="D21" t="s">
        <v>8</v>
      </c>
      <c r="E21" t="s">
        <v>9</v>
      </c>
      <c r="F21" t="s">
        <v>11</v>
      </c>
      <c r="G21" t="s">
        <v>102</v>
      </c>
      <c r="H21" t="s">
        <v>103</v>
      </c>
    </row>
    <row r="22" spans="1:8" x14ac:dyDescent="0.25">
      <c r="A22" t="s">
        <v>104</v>
      </c>
      <c r="B22" t="s">
        <v>105</v>
      </c>
      <c r="C22" t="s">
        <v>10</v>
      </c>
      <c r="D22" t="s">
        <v>8</v>
      </c>
      <c r="E22" t="s">
        <v>9</v>
      </c>
      <c r="F22" t="s">
        <v>11</v>
      </c>
      <c r="G22" t="s">
        <v>106</v>
      </c>
      <c r="H22" t="s">
        <v>107</v>
      </c>
    </row>
    <row r="23" spans="1:8" x14ac:dyDescent="0.25">
      <c r="A23" t="s">
        <v>108</v>
      </c>
      <c r="B23" t="s">
        <v>109</v>
      </c>
      <c r="C23" t="s">
        <v>14</v>
      </c>
      <c r="D23" t="s">
        <v>8</v>
      </c>
      <c r="E23" t="s">
        <v>9</v>
      </c>
      <c r="F23" t="s">
        <v>15</v>
      </c>
      <c r="G23" t="s">
        <v>110</v>
      </c>
      <c r="H23" t="s">
        <v>111</v>
      </c>
    </row>
    <row r="24" spans="1:8" x14ac:dyDescent="0.25">
      <c r="A24" t="s">
        <v>112</v>
      </c>
      <c r="B24" t="s">
        <v>113</v>
      </c>
      <c r="C24" t="s">
        <v>10</v>
      </c>
      <c r="D24" t="s">
        <v>8</v>
      </c>
      <c r="E24" t="s">
        <v>9</v>
      </c>
      <c r="F24" t="s">
        <v>11</v>
      </c>
      <c r="G24" t="s">
        <v>114</v>
      </c>
      <c r="H24" t="s">
        <v>115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05EBB-B86A-4602-8F4A-700C8F4C8C49}">
  <dimension ref="B2:B5"/>
  <sheetViews>
    <sheetView workbookViewId="0">
      <selection activeCell="B5" sqref="B5"/>
    </sheetView>
  </sheetViews>
  <sheetFormatPr baseColWidth="10" defaultRowHeight="15" x14ac:dyDescent="0.25"/>
  <cols>
    <col min="2" max="2" width="15.7109375" bestFit="1" customWidth="1"/>
  </cols>
  <sheetData>
    <row r="2" spans="2:2" x14ac:dyDescent="0.25">
      <c r="B2">
        <f>COUNTA(lista_eivgs[ruc])-6</f>
        <v>17</v>
      </c>
    </row>
    <row r="3" spans="2:2" x14ac:dyDescent="0.25">
      <c r="B3">
        <v>340</v>
      </c>
    </row>
    <row r="4" spans="2:2" x14ac:dyDescent="0.25">
      <c r="B4" s="1">
        <v>45750.537499999999</v>
      </c>
    </row>
    <row r="5" spans="2:2" x14ac:dyDescent="0.25">
      <c r="B5" s="1">
        <f ca="1">((NOW()-B4)/B3)*(B2-B3)+NOW()</f>
        <v>45754.930954473377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323416-7186-421D-91C7-6C0C2EEC6C10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c537770-210a-47ac-b2ab-cddef19e742f}" enabled="1" method="Privileged" siteId="{8bef3dae-3f49-4f22-8a5d-85a8e59a371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lista_eivgs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Trujillo</dc:creator>
  <cp:lastModifiedBy>Martin Trujillo</cp:lastModifiedBy>
  <dcterms:created xsi:type="dcterms:W3CDTF">2024-06-14T16:51:25Z</dcterms:created>
  <dcterms:modified xsi:type="dcterms:W3CDTF">2025-06-30T14:17:13Z</dcterms:modified>
</cp:coreProperties>
</file>